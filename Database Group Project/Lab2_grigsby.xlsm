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3820"/>
  <bookViews>
    <workbookView xWindow="360" yWindow="60" windowWidth="11340" windowHeight="6030"/>
  </bookViews>
  <sheets>
    <sheet name="Documentation" sheetId="2" r:id="rId1"/>
    <sheet name="Loan Data" sheetId="1" r:id="rId2"/>
    <sheet name="Loan Calculator" sheetId="3" r:id="rId3"/>
  </sheets>
  <calcPr calcId="145621"/>
  <webPublishing codePage="1252"/>
</workbook>
</file>

<file path=xl/calcChain.xml><?xml version="1.0" encoding="utf-8"?>
<calcChain xmlns="http://schemas.openxmlformats.org/spreadsheetml/2006/main">
  <c r="G6" i="3" l="1"/>
  <c r="F6" i="3"/>
  <c r="F4" i="3"/>
  <c r="G4" i="3" s="1"/>
  <c r="F5" i="3"/>
  <c r="G5" i="3" s="1"/>
  <c r="B28" i="1"/>
  <c r="C26" i="1"/>
  <c r="C25" i="1"/>
  <c r="C24" i="1"/>
  <c r="C23" i="1"/>
  <c r="G5" i="1"/>
  <c r="G6" i="1"/>
  <c r="G7" i="1"/>
  <c r="G8" i="1"/>
  <c r="G9" i="1"/>
  <c r="G10" i="1"/>
  <c r="G11" i="1"/>
  <c r="G12" i="1"/>
  <c r="G4" i="1"/>
  <c r="F5" i="1"/>
  <c r="F6" i="1"/>
  <c r="F7" i="1"/>
  <c r="F8" i="1"/>
  <c r="F9" i="1"/>
  <c r="F10" i="1"/>
  <c r="F11" i="1"/>
  <c r="F12" i="1"/>
  <c r="F4" i="1"/>
  <c r="E5" i="1"/>
  <c r="E6" i="1"/>
  <c r="E7" i="1"/>
  <c r="E8" i="1"/>
  <c r="E9" i="1"/>
  <c r="E10" i="1"/>
  <c r="E11" i="1"/>
  <c r="E12" i="1"/>
  <c r="E4" i="1"/>
  <c r="D4" i="1"/>
  <c r="D5" i="1"/>
  <c r="D6" i="1"/>
  <c r="D7" i="1"/>
  <c r="D8" i="1"/>
  <c r="D9" i="1"/>
  <c r="D10" i="1"/>
  <c r="D11" i="1"/>
  <c r="D12" i="1"/>
</calcChain>
</file>

<file path=xl/sharedStrings.xml><?xml version="1.0" encoding="utf-8"?>
<sst xmlns="http://schemas.openxmlformats.org/spreadsheetml/2006/main" count="45" uniqueCount="41">
  <si>
    <t>Customer</t>
  </si>
  <si>
    <t>Selling Price</t>
  </si>
  <si>
    <t>Loan Term</t>
  </si>
  <si>
    <t>Down Payment</t>
  </si>
  <si>
    <t>Amount to be Financed</t>
  </si>
  <si>
    <t>Interest Rate</t>
  </si>
  <si>
    <t>Monthly Payment</t>
  </si>
  <si>
    <t>Loan Statistics</t>
  </si>
  <si>
    <t>% Required for Down Payment</t>
  </si>
  <si>
    <t>Hood</t>
  </si>
  <si>
    <t>Bollis</t>
  </si>
  <si>
    <t>Arnold</t>
  </si>
  <si>
    <t>George</t>
  </si>
  <si>
    <t>Pinder</t>
  </si>
  <si>
    <t>Allen</t>
  </si>
  <si>
    <t>Paul</t>
  </si>
  <si>
    <t>Morgan</t>
  </si>
  <si>
    <t>Total Amount Financed</t>
  </si>
  <si>
    <t>Barber</t>
  </si>
  <si>
    <t>Number of Loans</t>
  </si>
  <si>
    <t>Highest Amount Financed</t>
  </si>
  <si>
    <t>Lowest Amount Financed</t>
  </si>
  <si>
    <t>First National Bank - New Loans</t>
  </si>
  <si>
    <t>Todays Date</t>
  </si>
  <si>
    <t>First National Bank New Loan Report</t>
  </si>
  <si>
    <t>Author</t>
  </si>
  <si>
    <t>Date</t>
  </si>
  <si>
    <t>Purpose</t>
  </si>
  <si>
    <t>Kyle Grigsby</t>
  </si>
  <si>
    <t>Monthly "New Loans Report" for the Board of Directors</t>
  </si>
  <si>
    <t>Interactive Loan Calculator</t>
  </si>
  <si>
    <t>Please provide the following information:</t>
  </si>
  <si>
    <t>What is the price of the home?</t>
  </si>
  <si>
    <t>Do you wish to put any additional money down?</t>
  </si>
  <si>
    <t>Pay at beginning of month?</t>
  </si>
  <si>
    <t>Based on the information you provided, your loan options are:</t>
  </si>
  <si>
    <t>Years of Loan</t>
  </si>
  <si>
    <t>Interest</t>
  </si>
  <si>
    <t>Monthly Mortgage Payment</t>
  </si>
  <si>
    <t>Yes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</si>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</sst>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8" formatCode="&quot;$&quot;#,##0.00_);[Red]\(&quot;$&quot;#,##0.00\)"/>
    <numFmt numFmtId="44" formatCode="_(&quot;$&quot;* #,##0.00_);_(&quot;$&quot;* \(#,##0.00\);_(&quot;$&quot;* &quot;-&quot;??_);_(@_)"/>
  </numFmts>
  <fonts count="10" x14ac:knownFonts="1">
    <font>
      <sz val="10"/>
      <name val="Arial"/>
    </font>
    <font>
      <sz val="10"/>
      <name val="Arial"/>
    </font>
    <font>
      <b/>
      <sz val="14"/>
      <color theme="0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  <font>
      <b/>
      <sz val="10"/>
      <color theme="0"/>
      <name val="Arial"/>
      <family val="2"/>
    </font>
    <font>
      <b/>
      <sz val="12"/>
      <color theme="4" tint="-0.249977111117893"/>
      <name val="Arial"/>
      <family val="2"/>
    </font>
    <font>
      <b/>
      <sz val="10"/>
      <color theme="4" tint="-0.249977111117893"/>
      <name val="Arial"/>
      <family val="2"/>
    </font>
    <font>
      <sz val="14"/>
      <name val="Arial"/>
      <family val="2"/>
    </font>
    <font>
      <b/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59999389629810485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9">
    <xf numFmtId="0" fontId="0" fillId="0" borderId="0" xfId="0"/>
    <xf numFmtId="0" fontId="2" fillId="3" borderId="0" xfId="0" applyFont="1" applyFill="1"/>
    <xf numFmtId="0" fontId="3" fillId="3" borderId="0" xfId="0" applyFont="1" applyFill="1"/>
    <xf numFmtId="0" fontId="4" fillId="0" borderId="0" xfId="0" applyFont="1"/>
    <xf numFmtId="14" fontId="0" fillId="0" borderId="0" xfId="0" applyNumberFormat="1"/>
    <xf numFmtId="0" fontId="5" fillId="3" borderId="0" xfId="0" applyFont="1" applyFill="1"/>
    <xf numFmtId="0" fontId="4" fillId="4" borderId="0" xfId="0" applyFont="1" applyFill="1"/>
    <xf numFmtId="14" fontId="0" fillId="4" borderId="0" xfId="0" applyNumberFormat="1" applyFill="1"/>
    <xf numFmtId="14" fontId="0" fillId="4" borderId="0" xfId="0" applyNumberFormat="1" applyFill="1"/>
    <xf numFmtId="0" fontId="4" fillId="4" borderId="0" xfId="0" applyFont="1" applyFill="1"/>
    <xf numFmtId="0" fontId="0" fillId="4" borderId="0" xfId="0" applyFill="1"/>
    <xf numFmtId="0" fontId="0" fillId="3" borderId="0" xfId="0" applyFill="1"/>
    <xf numFmtId="8" fontId="0" fillId="0" borderId="0" xfId="0" applyNumberFormat="1"/>
    <xf numFmtId="44" fontId="0" fillId="0" borderId="0" xfId="1" applyFont="1"/>
    <xf numFmtId="10" fontId="0" fillId="0" borderId="0" xfId="2" applyNumberFormat="1" applyFont="1"/>
    <xf numFmtId="0" fontId="6" fillId="0" borderId="0" xfId="0" applyFont="1" applyAlignment="1">
      <alignment horizontal="center"/>
    </xf>
    <xf numFmtId="0" fontId="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10" fontId="0" fillId="0" borderId="0" xfId="2" applyNumberFormat="1" applyFont="1" applyAlignment="1">
      <alignment horizontal="center" vertical="center"/>
    </xf>
    <xf numFmtId="0" fontId="7" fillId="0" borderId="1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0" fillId="0" borderId="3" xfId="0" applyBorder="1"/>
    <xf numFmtId="0" fontId="0" fillId="0" borderId="4" xfId="0" applyBorder="1"/>
    <xf numFmtId="44" fontId="0" fillId="0" borderId="4" xfId="1" applyFont="1" applyBorder="1"/>
    <xf numFmtId="0" fontId="0" fillId="0" borderId="5" xfId="0" applyBorder="1"/>
    <xf numFmtId="44" fontId="0" fillId="0" borderId="6" xfId="1" applyFont="1" applyBorder="1"/>
    <xf numFmtId="0" fontId="7" fillId="0" borderId="0" xfId="0" applyFont="1"/>
    <xf numFmtId="0" fontId="8" fillId="0" borderId="0" xfId="0" applyFont="1"/>
    <xf numFmtId="0" fontId="9" fillId="4" borderId="0" xfId="0" applyFont="1" applyFill="1"/>
    <xf numFmtId="44" fontId="9" fillId="4" borderId="0" xfId="1" applyFont="1" applyFill="1" applyProtection="1">
      <protection locked="0"/>
    </xf>
    <xf numFmtId="0" fontId="9" fillId="4" borderId="0" xfId="0" applyFont="1" applyFill="1" applyProtection="1">
      <protection locked="0"/>
    </xf>
    <xf numFmtId="0" fontId="5" fillId="2" borderId="0" xfId="0" applyFont="1" applyFill="1"/>
    <xf numFmtId="0" fontId="2" fillId="2" borderId="0" xfId="0" applyFont="1" applyFill="1" applyAlignment="1">
      <alignment horizontal="center"/>
    </xf>
    <xf numFmtId="0" fontId="5" fillId="2" borderId="0" xfId="0" applyFont="1" applyFill="1" applyAlignment="1">
      <alignment wrapText="1"/>
    </xf>
    <xf numFmtId="10" fontId="5" fillId="2" borderId="0" xfId="2" applyNumberFormat="1" applyFont="1" applyFill="1"/>
    <xf numFmtId="44" fontId="5" fillId="2" borderId="0" xfId="1" applyFont="1" applyFill="1"/>
    <xf numFmtId="8" fontId="5" fillId="2" borderId="0" xfId="0" applyNumberFormat="1" applyFont="1" applyFill="1"/>
    <xf numFmtId="10" fontId="5" fillId="2" borderId="0" xfId="0" applyNumberFormat="1" applyFont="1" applyFill="1"/>
    <xf numFmtId="0" fontId="9" fillId="4" borderId="0" xfId="0" applyFont="1" applyFill="1" applyAlignment="1">
      <alignment horizontal="right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809626</xdr:colOff>
      <xdr:row>0</xdr:row>
      <xdr:rowOff>1</xdr:rowOff>
    </xdr:from>
    <xdr:to>
      <xdr:col>5</xdr:col>
      <xdr:colOff>400051</xdr:colOff>
      <xdr:row>2</xdr:row>
      <xdr:rowOff>9526</xdr:rowOff>
    </xdr:to>
    <xdr:pic>
      <xdr:nvPicPr>
        <xdr:cNvPr id="4" name="Picture 3" descr="C:\Users\kgrigsby\AppData\Local\Microsoft\Windows\INetCache\IE\067US45F\pt-piggy-bank-pink-2[1]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76851" y="1"/>
          <a:ext cx="57150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6</xdr:row>
      <xdr:rowOff>38100</xdr:rowOff>
    </xdr:from>
    <xdr:to>
      <xdr:col>0</xdr:col>
      <xdr:colOff>1847850</xdr:colOff>
      <xdr:row>10</xdr:row>
      <xdr:rowOff>66675</xdr:rowOff>
    </xdr:to>
    <xdr:sp macro="[0]!ClearValues" textlink="">
      <xdr:nvSpPr>
        <xdr:cNvPr id="2" name="Rounded Rectangle 1"/>
        <xdr:cNvSpPr/>
      </xdr:nvSpPr>
      <xdr:spPr>
        <a:xfrm>
          <a:off x="342900" y="1447800"/>
          <a:ext cx="1504950" cy="676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Enter New</a:t>
          </a:r>
          <a:r>
            <a:rPr lang="en-US" sz="1400" baseline="0"/>
            <a:t> Values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6" tint="0.39997558519241921"/>
  </sheetPr>
  <dimension ref="A1:F5"/>
  <sheetViews>
    <sheetView tabSelected="1" workbookViewId="0">
      <selection activeCell="F14" sqref="F14"/>
    </sheetView>
  </sheetViews>
  <sheetFormatPr defaultRowHeight="12.75" x14ac:dyDescent="0.2"/>
  <sheetData>
    <row r="1" spans="1:6" ht="18" x14ac:dyDescent="0.25">
      <c r="A1" s="1" t="s">
        <v>24</v>
      </c>
      <c r="B1" s="2"/>
      <c r="C1" s="2"/>
      <c r="D1" s="2"/>
      <c r="E1" s="2"/>
      <c r="F1" s="2"/>
    </row>
    <row r="2" spans="1:6" x14ac:dyDescent="0.2">
      <c r="A2" s="5"/>
      <c r="B2" s="11"/>
      <c r="C2" s="11"/>
      <c r="D2" s="11"/>
      <c r="E2" s="11"/>
      <c r="F2" s="11"/>
    </row>
    <row r="3" spans="1:6" ht="30" customHeight="1" x14ac:dyDescent="0.2">
      <c r="A3" s="5" t="s">
        <v>25</v>
      </c>
      <c r="B3" s="6" t="s">
        <v>28</v>
      </c>
      <c r="C3" s="6"/>
      <c r="D3" s="6"/>
      <c r="E3" s="6"/>
      <c r="F3" s="6"/>
    </row>
    <row r="4" spans="1:6" ht="35.25" customHeight="1" x14ac:dyDescent="0.2">
      <c r="A4" s="5" t="s">
        <v>26</v>
      </c>
      <c r="B4" s="7">
        <v>42141</v>
      </c>
      <c r="C4" s="8"/>
      <c r="D4" s="8"/>
      <c r="E4" s="8"/>
      <c r="F4" s="8"/>
    </row>
    <row r="5" spans="1:6" ht="39" customHeight="1" x14ac:dyDescent="0.2">
      <c r="A5" s="5" t="s">
        <v>27</v>
      </c>
      <c r="B5" s="9" t="s">
        <v>29</v>
      </c>
      <c r="C5" s="10"/>
      <c r="D5" s="10"/>
      <c r="E5" s="10"/>
      <c r="F5" s="10"/>
    </row>
  </sheetData>
  <mergeCells count="3">
    <mergeCell ref="B3:F3"/>
    <mergeCell ref="C4:F4"/>
    <mergeCell ref="B2:F2"/>
  </mergeCell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70C0"/>
  </sheetPr>
  <dimension ref="A1:G28"/>
  <sheetViews>
    <sheetView workbookViewId="0">
      <selection activeCell="E17" sqref="E17"/>
    </sheetView>
  </sheetViews>
  <sheetFormatPr defaultRowHeight="12.75" x14ac:dyDescent="0.2"/>
  <cols>
    <col min="1" max="1" width="14.7109375" customWidth="1"/>
    <col min="2" max="2" width="22.85546875" bestFit="1" customWidth="1"/>
    <col min="3" max="5" width="14.7109375" customWidth="1"/>
    <col min="6" max="6" width="20.5703125" bestFit="1" customWidth="1"/>
    <col min="7" max="7" width="14.7109375" customWidth="1"/>
  </cols>
  <sheetData>
    <row r="1" spans="1:7" ht="28.5" customHeight="1" x14ac:dyDescent="0.25">
      <c r="A1" s="15" t="s">
        <v>22</v>
      </c>
      <c r="B1" s="15"/>
      <c r="C1" s="15"/>
      <c r="D1" s="15"/>
      <c r="E1" s="15"/>
      <c r="F1" s="15"/>
      <c r="G1" s="15"/>
    </row>
    <row r="3" spans="1:7" ht="26.25" customHeight="1" x14ac:dyDescent="0.2">
      <c r="A3" s="16" t="s">
        <v>0</v>
      </c>
      <c r="B3" s="16" t="s">
        <v>1</v>
      </c>
      <c r="C3" s="16" t="s">
        <v>2</v>
      </c>
      <c r="D3" s="16" t="s">
        <v>5</v>
      </c>
      <c r="E3" s="16" t="s">
        <v>3</v>
      </c>
      <c r="F3" s="16" t="s">
        <v>4</v>
      </c>
      <c r="G3" s="16" t="s">
        <v>6</v>
      </c>
    </row>
    <row r="4" spans="1:7" x14ac:dyDescent="0.2">
      <c r="A4" t="s">
        <v>14</v>
      </c>
      <c r="B4" s="13">
        <v>265354</v>
      </c>
      <c r="C4">
        <v>30</v>
      </c>
      <c r="D4" s="14">
        <f>VLOOKUP(C4,$A$17:$B$20,2,FALSE)</f>
        <v>6.25E-2</v>
      </c>
      <c r="E4" s="13">
        <f>(VLOOKUP(C4,$A$17:$C$20,3,FALSE))*B4</f>
        <v>66338.5</v>
      </c>
      <c r="F4" s="13">
        <f>B4-E4</f>
        <v>199015.5</v>
      </c>
      <c r="G4" s="12">
        <f>PMT(D4/12,C4*12,-F4,,1)</f>
        <v>1219.0235838487067</v>
      </c>
    </row>
    <row r="5" spans="1:7" x14ac:dyDescent="0.2">
      <c r="A5" t="s">
        <v>11</v>
      </c>
      <c r="B5" s="13">
        <v>328788</v>
      </c>
      <c r="C5">
        <v>15</v>
      </c>
      <c r="D5" s="14">
        <f t="shared" ref="D5:D12" si="0">VLOOKUP(C5,$A$17:$B$20,2,FALSE)</f>
        <v>5.7500000000000002E-2</v>
      </c>
      <c r="E5" s="13">
        <f t="shared" ref="E5:E12" si="1">(VLOOKUP(C5,$A$17:$C$20,3,FALSE))*B5</f>
        <v>49318.2</v>
      </c>
      <c r="F5" s="13">
        <f t="shared" ref="F5:F12" si="2">B5-E5</f>
        <v>279469.8</v>
      </c>
      <c r="G5" s="12">
        <f t="shared" ref="G5:G12" si="3">PMT(D5/12,C5*12,-F5,,1)</f>
        <v>2309.6782013256675</v>
      </c>
    </row>
    <row r="6" spans="1:7" x14ac:dyDescent="0.2">
      <c r="A6" t="s">
        <v>18</v>
      </c>
      <c r="B6" s="13">
        <v>500000</v>
      </c>
      <c r="C6">
        <v>15</v>
      </c>
      <c r="D6" s="14">
        <f t="shared" si="0"/>
        <v>5.7500000000000002E-2</v>
      </c>
      <c r="E6" s="13">
        <f t="shared" si="1"/>
        <v>75000</v>
      </c>
      <c r="F6" s="13">
        <f t="shared" si="2"/>
        <v>425000</v>
      </c>
      <c r="G6" s="12">
        <f t="shared" si="3"/>
        <v>3512.4125596519148</v>
      </c>
    </row>
    <row r="7" spans="1:7" x14ac:dyDescent="0.2">
      <c r="A7" t="s">
        <v>10</v>
      </c>
      <c r="B7" s="13">
        <v>112485</v>
      </c>
      <c r="C7">
        <v>30</v>
      </c>
      <c r="D7" s="14">
        <f t="shared" si="0"/>
        <v>6.25E-2</v>
      </c>
      <c r="E7" s="13">
        <f t="shared" si="1"/>
        <v>28121.25</v>
      </c>
      <c r="F7" s="13">
        <f t="shared" si="2"/>
        <v>84363.75</v>
      </c>
      <c r="G7" s="12">
        <f t="shared" si="3"/>
        <v>516.75070972821879</v>
      </c>
    </row>
    <row r="8" spans="1:7" x14ac:dyDescent="0.2">
      <c r="A8" t="s">
        <v>12</v>
      </c>
      <c r="B8" s="13">
        <v>350000</v>
      </c>
      <c r="C8">
        <v>30</v>
      </c>
      <c r="D8" s="14">
        <f t="shared" si="0"/>
        <v>6.25E-2</v>
      </c>
      <c r="E8" s="13">
        <f t="shared" si="1"/>
        <v>87500</v>
      </c>
      <c r="F8" s="13">
        <f t="shared" si="2"/>
        <v>262500</v>
      </c>
      <c r="G8" s="12">
        <f t="shared" si="3"/>
        <v>1607.8832591445669</v>
      </c>
    </row>
    <row r="9" spans="1:7" x14ac:dyDescent="0.2">
      <c r="A9" t="s">
        <v>9</v>
      </c>
      <c r="B9" s="13">
        <v>761978</v>
      </c>
      <c r="C9">
        <v>20</v>
      </c>
      <c r="D9" s="14">
        <f t="shared" si="0"/>
        <v>0.06</v>
      </c>
      <c r="E9" s="13">
        <f t="shared" si="1"/>
        <v>152395.6</v>
      </c>
      <c r="F9" s="13">
        <f t="shared" si="2"/>
        <v>609582.4</v>
      </c>
      <c r="G9" s="12">
        <f t="shared" si="3"/>
        <v>4345.5100901657715</v>
      </c>
    </row>
    <row r="10" spans="1:7" x14ac:dyDescent="0.2">
      <c r="A10" t="s">
        <v>16</v>
      </c>
      <c r="B10" s="13">
        <v>192940</v>
      </c>
      <c r="C10">
        <v>15</v>
      </c>
      <c r="D10" s="14">
        <f t="shared" si="0"/>
        <v>5.7500000000000002E-2</v>
      </c>
      <c r="E10" s="13">
        <f t="shared" si="1"/>
        <v>28941</v>
      </c>
      <c r="F10" s="13">
        <f t="shared" si="2"/>
        <v>163999</v>
      </c>
      <c r="G10" s="12">
        <f t="shared" si="3"/>
        <v>1355.3697585184807</v>
      </c>
    </row>
    <row r="11" spans="1:7" x14ac:dyDescent="0.2">
      <c r="A11" t="s">
        <v>15</v>
      </c>
      <c r="B11" s="13">
        <v>606563</v>
      </c>
      <c r="C11">
        <v>20</v>
      </c>
      <c r="D11" s="14">
        <f t="shared" si="0"/>
        <v>0.06</v>
      </c>
      <c r="E11" s="13">
        <f t="shared" si="1"/>
        <v>121312.6</v>
      </c>
      <c r="F11" s="13">
        <f t="shared" si="2"/>
        <v>485250.4</v>
      </c>
      <c r="G11" s="12">
        <f t="shared" si="3"/>
        <v>3459.1886338204267</v>
      </c>
    </row>
    <row r="12" spans="1:7" x14ac:dyDescent="0.2">
      <c r="A12" t="s">
        <v>13</v>
      </c>
      <c r="B12" s="13">
        <v>319765</v>
      </c>
      <c r="C12">
        <v>30</v>
      </c>
      <c r="D12" s="14">
        <f t="shared" si="0"/>
        <v>6.25E-2</v>
      </c>
      <c r="E12" s="13">
        <f t="shared" si="1"/>
        <v>79941.25</v>
      </c>
      <c r="F12" s="13">
        <f t="shared" si="2"/>
        <v>239823.75</v>
      </c>
      <c r="G12" s="12">
        <f t="shared" si="3"/>
        <v>1468.9851153153209</v>
      </c>
    </row>
    <row r="17" spans="1:4" ht="26.25" customHeight="1" x14ac:dyDescent="0.2">
      <c r="A17" s="16" t="s">
        <v>2</v>
      </c>
      <c r="B17" s="16" t="s">
        <v>5</v>
      </c>
      <c r="C17" s="16" t="s">
        <v>8</v>
      </c>
      <c r="D17" s="16"/>
    </row>
    <row r="18" spans="1:4" ht="12.75" customHeight="1" x14ac:dyDescent="0.2">
      <c r="A18" s="17">
        <v>15</v>
      </c>
      <c r="B18" s="18">
        <v>5.7500000000000002E-2</v>
      </c>
      <c r="C18" s="14">
        <v>0.15</v>
      </c>
    </row>
    <row r="19" spans="1:4" ht="12.75" customHeight="1" x14ac:dyDescent="0.2">
      <c r="A19" s="17">
        <v>20</v>
      </c>
      <c r="B19" s="18">
        <v>0.06</v>
      </c>
      <c r="C19" s="14">
        <v>0.2</v>
      </c>
    </row>
    <row r="20" spans="1:4" x14ac:dyDescent="0.2">
      <c r="A20" s="17">
        <v>30</v>
      </c>
      <c r="B20" s="18">
        <v>6.25E-2</v>
      </c>
      <c r="C20" s="14">
        <v>0.25</v>
      </c>
    </row>
    <row r="21" spans="1:4" ht="13.5" thickBot="1" x14ac:dyDescent="0.25">
      <c r="A21" s="17"/>
      <c r="B21" s="18"/>
      <c r="C21" s="14"/>
    </row>
    <row r="22" spans="1:4" x14ac:dyDescent="0.2">
      <c r="B22" s="19" t="s">
        <v>7</v>
      </c>
      <c r="C22" s="20"/>
    </row>
    <row r="23" spans="1:4" x14ac:dyDescent="0.2">
      <c r="B23" s="21" t="s">
        <v>19</v>
      </c>
      <c r="C23" s="22">
        <f>COUNTIF(G4:G12,"&gt;0")</f>
        <v>9</v>
      </c>
    </row>
    <row r="24" spans="1:4" x14ac:dyDescent="0.2">
      <c r="B24" s="21" t="s">
        <v>20</v>
      </c>
      <c r="C24" s="23">
        <f>MAX(F4:F12)</f>
        <v>609582.4</v>
      </c>
    </row>
    <row r="25" spans="1:4" x14ac:dyDescent="0.2">
      <c r="B25" s="21" t="s">
        <v>21</v>
      </c>
      <c r="C25" s="23">
        <f>MIN(F4:F12)</f>
        <v>84363.75</v>
      </c>
    </row>
    <row r="26" spans="1:4" ht="13.5" thickBot="1" x14ac:dyDescent="0.25">
      <c r="B26" s="24" t="s">
        <v>17</v>
      </c>
      <c r="C26" s="25">
        <f>SUM(F4:F12)</f>
        <v>2749004.6</v>
      </c>
    </row>
    <row r="28" spans="1:4" x14ac:dyDescent="0.2">
      <c r="A28" s="26" t="s">
        <v>23</v>
      </c>
      <c r="B28" s="4">
        <f ca="1">TODAY()</f>
        <v>42141</v>
      </c>
    </row>
  </sheetData>
  <mergeCells count="2">
    <mergeCell ref="A1:G1"/>
    <mergeCell ref="B22:C22"/>
  </mergeCells>
  <phoneticPr fontId="0" type="halfwidthKatakana" alignment="noControl"/>
  <dataValidations count="1">
    <dataValidation type="list" allowBlank="1" showInputMessage="1" showErrorMessage="1" error="You are restricted to the available loan terms. This dialog box is produced by the data validation command." sqref="C4:C12">
      <formula1>$A$18:$A$20</formula1>
    </dataValidation>
  </dataValidations>
  <pageMargins left="0.44" right="0.23" top="1" bottom="2.0699999999999998" header="0.5" footer="0.5"/>
  <pageSetup scale="80" orientation="landscape" horizontalDpi="4294967292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A1:I6"/>
  <sheetViews>
    <sheetView zoomScaleNormal="100" workbookViewId="0">
      <selection activeCell="B5" sqref="B5"/>
    </sheetView>
  </sheetViews>
  <sheetFormatPr defaultRowHeight="12.75" x14ac:dyDescent="0.2"/>
  <cols>
    <col min="1" max="1" width="45.85546875" bestFit="1" customWidth="1"/>
    <col min="2" max="2" width="12.28515625" bestFit="1" customWidth="1"/>
    <col min="4" max="4" width="13" customWidth="1"/>
    <col min="6" max="6" width="19.140625" customWidth="1"/>
    <col min="7" max="7" width="10" customWidth="1"/>
  </cols>
  <sheetData>
    <row r="1" spans="1:9" ht="18" x14ac:dyDescent="0.25">
      <c r="A1" s="32" t="s">
        <v>30</v>
      </c>
      <c r="B1" s="32"/>
      <c r="C1" s="32"/>
      <c r="D1" s="32"/>
      <c r="E1" s="32"/>
      <c r="F1" s="32"/>
      <c r="G1" s="32"/>
      <c r="H1" s="27"/>
    </row>
    <row r="2" spans="1:9" x14ac:dyDescent="0.2">
      <c r="A2" s="28" t="s">
        <v>31</v>
      </c>
      <c r="B2" s="28"/>
      <c r="C2" s="31"/>
      <c r="D2" s="31" t="s">
        <v>35</v>
      </c>
      <c r="E2" s="31"/>
      <c r="F2" s="31"/>
      <c r="G2" s="31"/>
    </row>
    <row r="3" spans="1:9" ht="42" customHeight="1" x14ac:dyDescent="0.2">
      <c r="A3" s="38" t="s">
        <v>32</v>
      </c>
      <c r="B3" s="29"/>
      <c r="C3" s="31"/>
      <c r="D3" s="31" t="s">
        <v>36</v>
      </c>
      <c r="E3" s="31" t="s">
        <v>37</v>
      </c>
      <c r="F3" s="31" t="s">
        <v>3</v>
      </c>
      <c r="G3" s="33" t="s">
        <v>38</v>
      </c>
    </row>
    <row r="4" spans="1:9" x14ac:dyDescent="0.2">
      <c r="A4" s="28" t="s">
        <v>33</v>
      </c>
      <c r="B4" s="30"/>
      <c r="C4" s="31"/>
      <c r="D4" s="31">
        <v>15</v>
      </c>
      <c r="E4" s="34">
        <v>5.7500000000000002E-2</v>
      </c>
      <c r="F4" s="35">
        <f>B3*0.15</f>
        <v>0</v>
      </c>
      <c r="G4" s="36">
        <f>PMT(E4/12,D4*12,-($B$3-F4-$B$4),,IF(B5="Yes",1,0))</f>
        <v>0</v>
      </c>
      <c r="I4" s="3" t="s">
        <v>39</v>
      </c>
    </row>
    <row r="5" spans="1:9" x14ac:dyDescent="0.2">
      <c r="A5" s="38" t="s">
        <v>34</v>
      </c>
      <c r="B5" s="30" t="s">
        <v>39</v>
      </c>
      <c r="C5" s="31"/>
      <c r="D5" s="31">
        <v>20</v>
      </c>
      <c r="E5" s="37">
        <v>0.06</v>
      </c>
      <c r="F5" s="35">
        <f>B3*0.2</f>
        <v>0</v>
      </c>
      <c r="G5" s="36">
        <f>PMT(E5/12,D5*12,-($B$3-F5-$B$4),,IF(B5="Yes",1,0))</f>
        <v>0</v>
      </c>
      <c r="I5" s="3" t="s">
        <v>40</v>
      </c>
    </row>
    <row r="6" spans="1:9" x14ac:dyDescent="0.2">
      <c r="A6" s="28"/>
      <c r="B6" s="28"/>
      <c r="C6" s="31"/>
      <c r="D6" s="31">
        <v>30</v>
      </c>
      <c r="E6" s="37">
        <v>6.25E-2</v>
      </c>
      <c r="F6" s="35">
        <f>B3*0.25</f>
        <v>0</v>
      </c>
      <c r="G6" s="36">
        <f>PMT(E6/12,D6*12,-($B$3-F6-$B$4),,IF(B5="Yes",1,0))</f>
        <v>0</v>
      </c>
    </row>
  </sheetData>
  <sheetProtection sheet="1" objects="1" scenarios="1" selectLockedCells="1"/>
  <mergeCells count="1">
    <mergeCell ref="A1:G1"/>
  </mergeCells>
  <dataValidations count="3">
    <dataValidation type="whole" errorStyle="warning" operator="greaterThanOrEqual" allowBlank="1" showInputMessage="1" showErrorMessage="1" errorTitle="Home Price" error="Loans will not be provided for homes below $50,000!" promptTitle="Enter Price of Home" prompt="Please enter the selling price of the home. The price must be at least $50,000. Enter no decimals." sqref="B3">
      <formula1>50000</formula1>
    </dataValidation>
    <dataValidation type="list" allowBlank="1" showInputMessage="1" showErrorMessage="1" sqref="I6">
      <formula1>$I$5</formula1>
    </dataValidation>
    <dataValidation type="list" allowBlank="1" showInputMessage="1" showErrorMessage="1" sqref="B5">
      <formula1>$I$4:$I$5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Documentation</vt:lpstr>
      <vt:lpstr>Loan Data</vt:lpstr>
      <vt:lpstr>Loan Calculator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and Judy Scheeren</dc:creator>
  <cp:lastModifiedBy>Kyle Grigsby</cp:lastModifiedBy>
  <cp:lastPrinted>2002-09-22T16:19:04Z</cp:lastPrinted>
  <dcterms:created xsi:type="dcterms:W3CDTF">1997-11-05T20:14:18Z</dcterms:created>
  <dcterms:modified xsi:type="dcterms:W3CDTF">2015-05-18T04:13:32Z</dcterms:modified>
</cp:coreProperties>
</file>